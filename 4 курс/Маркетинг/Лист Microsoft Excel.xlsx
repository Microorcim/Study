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Nano\Desktop\Study\4 курс\Маркетинг\"/>
    </mc:Choice>
  </mc:AlternateContent>
  <xr:revisionPtr revIDLastSave="0" documentId="13_ncr:1_{287B8B22-E087-4B40-A5F0-8239FF2A2BC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8" i="1" l="1"/>
  <c r="I8" i="1"/>
  <c r="H8" i="1"/>
  <c r="D8" i="1"/>
  <c r="E8" i="1"/>
  <c r="F8" i="1"/>
  <c r="C8" i="1"/>
  <c r="B8" i="1"/>
  <c r="A8" i="1"/>
  <c r="B4" i="1"/>
  <c r="C4" i="1"/>
  <c r="D4" i="1"/>
  <c r="E4" i="1"/>
  <c r="F4" i="1"/>
  <c r="A4" i="1"/>
  <c r="H2" i="1"/>
  <c r="H4" i="1"/>
  <c r="H3" i="1" l="1"/>
  <c r="I3" i="1" s="1"/>
</calcChain>
</file>

<file path=xl/sharedStrings.xml><?xml version="1.0" encoding="utf-8"?>
<sst xmlns="http://schemas.openxmlformats.org/spreadsheetml/2006/main" count="6" uniqueCount="6">
  <si>
    <t>Январь</t>
  </si>
  <si>
    <t>Фев</t>
  </si>
  <si>
    <t>Март</t>
  </si>
  <si>
    <t>Апрель</t>
  </si>
  <si>
    <t>Май</t>
  </si>
  <si>
    <t>Июнь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</si>
</sst>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2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"/>
  <sheetViews>
    <sheetView tabSelected="1" zoomScale="160" zoomScaleNormal="160" workbookViewId="0">
      <selection activeCell="J8" sqref="A1:J8"/>
    </sheetView>
  </sheetViews>
  <sheetFormatPr defaultRowHeight="14.5" x14ac:dyDescent="0.35"/>
  <cols>
    <col min="1" max="1" width="9.90625" bestFit="1" customWidth="1"/>
    <col min="8" max="8" width="10" bestFit="1" customWidth="1"/>
    <col min="9" max="9" width="6.81640625" bestFit="1" customWidth="1"/>
  </cols>
  <sheetData>
    <row r="1" spans="1:10" ht="16.5" thickBot="1" x14ac:dyDescent="0.4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10" x14ac:dyDescent="0.35">
      <c r="A2">
        <v>18</v>
      </c>
      <c r="B2">
        <v>20</v>
      </c>
      <c r="C2">
        <v>21</v>
      </c>
      <c r="D2">
        <v>19</v>
      </c>
      <c r="E2">
        <v>20</v>
      </c>
      <c r="F2">
        <v>21</v>
      </c>
      <c r="H2">
        <f>SUM(A3:F3)</f>
        <v>117</v>
      </c>
    </row>
    <row r="3" spans="1:10" ht="16.5" thickBot="1" x14ac:dyDescent="0.4">
      <c r="A3" s="3">
        <v>15</v>
      </c>
      <c r="B3" s="4">
        <v>19</v>
      </c>
      <c r="C3" s="4">
        <v>21</v>
      </c>
      <c r="D3" s="4">
        <v>22</v>
      </c>
      <c r="E3" s="4">
        <v>19</v>
      </c>
      <c r="F3" s="4">
        <v>21</v>
      </c>
      <c r="H3">
        <f>SUM(A4:F4)</f>
        <v>111428.46</v>
      </c>
      <c r="I3">
        <f>H3/6</f>
        <v>18571.41</v>
      </c>
    </row>
    <row r="4" spans="1:10" ht="16.5" thickBot="1" x14ac:dyDescent="0.4">
      <c r="A4" s="3">
        <f>952.38*A3</f>
        <v>14285.7</v>
      </c>
      <c r="B4" s="3">
        <f t="shared" ref="B4:F4" si="0">952.38*B3</f>
        <v>18095.22</v>
      </c>
      <c r="C4" s="3">
        <f t="shared" si="0"/>
        <v>19999.98</v>
      </c>
      <c r="D4" s="3">
        <f t="shared" si="0"/>
        <v>20952.36</v>
      </c>
      <c r="E4" s="3">
        <f t="shared" si="0"/>
        <v>18095.22</v>
      </c>
      <c r="F4" s="3">
        <f t="shared" si="0"/>
        <v>19999.98</v>
      </c>
      <c r="H4">
        <f>SUM(A5:A7,B5:F5)</f>
        <v>120070</v>
      </c>
    </row>
    <row r="5" spans="1:10" ht="16.5" thickBot="1" x14ac:dyDescent="0.4">
      <c r="A5" s="3">
        <v>20000</v>
      </c>
      <c r="B5" s="4">
        <v>20000</v>
      </c>
      <c r="C5" s="4">
        <v>20000</v>
      </c>
      <c r="D5" s="4">
        <v>20000</v>
      </c>
      <c r="E5" s="4">
        <v>20000</v>
      </c>
      <c r="F5" s="4">
        <v>20000</v>
      </c>
    </row>
    <row r="6" spans="1:10" ht="16.5" thickBot="1" x14ac:dyDescent="0.4">
      <c r="A6" s="3">
        <v>10</v>
      </c>
      <c r="B6" s="4"/>
      <c r="C6" s="4"/>
      <c r="D6" s="4"/>
      <c r="E6" s="4"/>
      <c r="F6" s="4"/>
    </row>
    <row r="7" spans="1:10" ht="16.5" thickBot="1" x14ac:dyDescent="0.4">
      <c r="A7" s="3">
        <v>60</v>
      </c>
      <c r="B7" s="4"/>
      <c r="C7" s="4"/>
      <c r="D7" s="4"/>
      <c r="E7" s="4"/>
      <c r="F7" s="4"/>
    </row>
    <row r="8" spans="1:10" x14ac:dyDescent="0.35">
      <c r="A8">
        <f>(A5/A3)*A2</f>
        <v>24000</v>
      </c>
      <c r="B8">
        <f>(B5/B3)*B2</f>
        <v>21052.631578947367</v>
      </c>
      <c r="C8">
        <f>(C5/C3)*C2</f>
        <v>20000</v>
      </c>
      <c r="D8">
        <f t="shared" ref="D8:F8" si="1">(D5/D3)*D2</f>
        <v>17272.727272727272</v>
      </c>
      <c r="E8">
        <f t="shared" si="1"/>
        <v>21052.631578947367</v>
      </c>
      <c r="F8">
        <f t="shared" si="1"/>
        <v>20000</v>
      </c>
      <c r="H8">
        <f>SUM(A8:F8)</f>
        <v>123377.99043062201</v>
      </c>
      <c r="I8">
        <f>H8+10000+60000</f>
        <v>193377.99043062201</v>
      </c>
      <c r="J8">
        <f>I8/6</f>
        <v>32229.665071770334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Nano</dc:creator>
  <cp:lastModifiedBy>Nano</cp:lastModifiedBy>
  <dcterms:created xsi:type="dcterms:W3CDTF">2015-06-05T18:19:34Z</dcterms:created>
  <dcterms:modified xsi:type="dcterms:W3CDTF">2026-03-17T12:52:15Z</dcterms:modified>
</cp:coreProperties>
</file>