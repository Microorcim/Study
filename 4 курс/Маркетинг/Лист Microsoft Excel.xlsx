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Nano\Desktop\Study\4 курс\Маркетинг\"/>
    </mc:Choice>
  </mc:AlternateContent>
  <xr:revisionPtr revIDLastSave="0" documentId="13_ncr:1_{235C606F-C0BA-471A-BB63-51122905AD0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3" i="1" l="1"/>
  <c r="E34" i="1"/>
  <c r="E35" i="1"/>
  <c r="E36" i="1"/>
  <c r="E32" i="1"/>
  <c r="E37" i="1"/>
  <c r="D37" i="1"/>
  <c r="C37" i="1"/>
  <c r="B44" i="1"/>
  <c r="B38" i="1"/>
  <c r="E13" i="1"/>
  <c r="E14" i="1"/>
  <c r="E15" i="1"/>
  <c r="E16" i="1"/>
  <c r="E17" i="1"/>
  <c r="E18" i="1"/>
  <c r="E19" i="1"/>
  <c r="E20" i="1"/>
  <c r="E21" i="1"/>
  <c r="E12" i="1"/>
  <c r="D13" i="1"/>
  <c r="D14" i="1"/>
  <c r="D15" i="1"/>
  <c r="D16" i="1"/>
  <c r="D17" i="1"/>
  <c r="D18" i="1"/>
  <c r="D19" i="1"/>
  <c r="D20" i="1"/>
  <c r="D21" i="1"/>
  <c r="D12" i="1"/>
  <c r="H15" i="1"/>
  <c r="F23" i="1"/>
  <c r="F13" i="1"/>
  <c r="F14" i="1"/>
  <c r="F15" i="1"/>
  <c r="F16" i="1"/>
  <c r="F17" i="1"/>
  <c r="F18" i="1"/>
  <c r="F19" i="1"/>
  <c r="F20" i="1"/>
  <c r="F21" i="1"/>
  <c r="F12" i="1"/>
  <c r="H14" i="1"/>
  <c r="B23" i="1"/>
  <c r="C23" i="1"/>
  <c r="J8" i="1"/>
  <c r="I8" i="1"/>
  <c r="H8" i="1"/>
  <c r="D8" i="1"/>
  <c r="E8" i="1"/>
  <c r="F8" i="1"/>
  <c r="C8" i="1"/>
  <c r="B8" i="1"/>
  <c r="A8" i="1"/>
  <c r="B4" i="1"/>
  <c r="C4" i="1"/>
  <c r="D4" i="1"/>
  <c r="E4" i="1"/>
  <c r="F4" i="1"/>
  <c r="A4" i="1"/>
  <c r="H2" i="1"/>
  <c r="H4" i="1"/>
  <c r="H3" i="1" l="1"/>
  <c r="I3" i="1" s="1"/>
</calcChain>
</file>

<file path=xl/sharedStrings.xml><?xml version="1.0" encoding="utf-8"?>
<sst xmlns="http://schemas.openxmlformats.org/spreadsheetml/2006/main" count="34" uniqueCount="33">
  <si>
    <t>Январь</t>
  </si>
  <si>
    <t>Фев</t>
  </si>
  <si>
    <t>Март</t>
  </si>
  <si>
    <t>Апрель</t>
  </si>
  <si>
    <t>Май</t>
  </si>
  <si>
    <t>Июнь</t>
  </si>
  <si>
    <t>Кол-ао ставок</t>
  </si>
  <si>
    <t>Тариф коэф</t>
  </si>
  <si>
    <t>Мес зп</t>
  </si>
  <si>
    <t>Почас ставка</t>
  </si>
  <si>
    <t xml:space="preserve">Заведующий </t>
  </si>
  <si>
    <t>Помошник воспитателя</t>
  </si>
  <si>
    <t>Воспиттель</t>
  </si>
  <si>
    <t>худ</t>
  </si>
  <si>
    <t>музык</t>
  </si>
  <si>
    <t>Повар</t>
  </si>
  <si>
    <t>Кухонный работник</t>
  </si>
  <si>
    <t>Работник уборки</t>
  </si>
  <si>
    <t>Завхоз</t>
  </si>
  <si>
    <t>Секретарь</t>
  </si>
  <si>
    <t xml:space="preserve">Стоимость еденицы количества еденицы тарифного </t>
  </si>
  <si>
    <t>Еденица тарифного коэфициента</t>
  </si>
  <si>
    <t>Оклад</t>
  </si>
  <si>
    <t>Часы в Мес</t>
  </si>
  <si>
    <t>Повременная оплата</t>
  </si>
  <si>
    <t>Сдельный Приработок</t>
  </si>
  <si>
    <t>Начисленно</t>
  </si>
  <si>
    <t>Заведующий</t>
  </si>
  <si>
    <t>Старший продавец</t>
  </si>
  <si>
    <t>Продавец</t>
  </si>
  <si>
    <t>Продавец кат</t>
  </si>
  <si>
    <t>Помошник</t>
  </si>
  <si>
    <t>Стоимость чаа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</si>
</sst>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2" fontId="1" fillId="0" borderId="2" xfId="0" applyNumberFormat="1" applyFont="1" applyBorder="1" applyAlignment="1">
      <alignment vertical="center" wrapText="1"/>
    </xf>
    <xf numFmtId="2" fontId="0" fillId="0" borderId="0" xfId="0" applyNumberFormat="1"/>
    <xf numFmtId="2" fontId="1" fillId="0" borderId="4" xfId="0" applyNumberFormat="1" applyFont="1" applyBorder="1" applyAlignment="1">
      <alignment vertical="center" wrapText="1"/>
    </xf>
    <xf numFmtId="2" fontId="1" fillId="0" borderId="3" xfId="0" applyNumberFormat="1" applyFont="1" applyBorder="1" applyAlignment="1">
      <alignment vertical="center" wrapText="1"/>
    </xf>
    <xf numFmtId="0" fontId="1" fillId="0" borderId="5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4"/>
  <sheetViews>
    <sheetView tabSelected="1" topLeftCell="A30" zoomScale="160" zoomScaleNormal="160" workbookViewId="0">
      <selection activeCell="E38" sqref="E38"/>
    </sheetView>
  </sheetViews>
  <sheetFormatPr defaultRowHeight="14.5" x14ac:dyDescent="0.35"/>
  <cols>
    <col min="1" max="1" width="21.6328125" customWidth="1"/>
    <col min="2" max="2" width="7.1796875" customWidth="1"/>
    <col min="3" max="3" width="9.90625" style="6" bestFit="1" customWidth="1"/>
    <col min="4" max="4" width="14.7265625" customWidth="1"/>
    <col min="5" max="5" width="13.54296875" bestFit="1" customWidth="1"/>
    <col min="8" max="8" width="10" bestFit="1" customWidth="1"/>
    <col min="9" max="9" width="6.81640625" bestFit="1" customWidth="1"/>
  </cols>
  <sheetData>
    <row r="1" spans="1:10" ht="16.5" thickBot="1" x14ac:dyDescent="0.4">
      <c r="A1" s="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</row>
    <row r="2" spans="1:10" x14ac:dyDescent="0.35">
      <c r="A2">
        <v>18</v>
      </c>
      <c r="B2">
        <v>20</v>
      </c>
      <c r="C2" s="6">
        <v>21</v>
      </c>
      <c r="D2">
        <v>19</v>
      </c>
      <c r="E2">
        <v>20</v>
      </c>
      <c r="F2">
        <v>21</v>
      </c>
      <c r="H2">
        <f>SUM(A3:F3)</f>
        <v>117</v>
      </c>
    </row>
    <row r="3" spans="1:10" ht="16.5" thickBot="1" x14ac:dyDescent="0.4">
      <c r="A3" s="3">
        <v>15</v>
      </c>
      <c r="B3" s="4">
        <v>19</v>
      </c>
      <c r="C3" s="7">
        <v>21</v>
      </c>
      <c r="D3" s="4">
        <v>22</v>
      </c>
      <c r="E3" s="4">
        <v>19</v>
      </c>
      <c r="F3" s="4">
        <v>21</v>
      </c>
      <c r="H3">
        <f>SUM(A4:F4)</f>
        <v>111428.46</v>
      </c>
      <c r="I3">
        <f>H3/6</f>
        <v>18571.41</v>
      </c>
    </row>
    <row r="4" spans="1:10" ht="16.5" thickBot="1" x14ac:dyDescent="0.4">
      <c r="A4" s="3">
        <f>952.38*A3</f>
        <v>14285.7</v>
      </c>
      <c r="B4" s="3">
        <f t="shared" ref="B4:F4" si="0">952.38*B3</f>
        <v>18095.22</v>
      </c>
      <c r="C4" s="8">
        <f t="shared" si="0"/>
        <v>19999.98</v>
      </c>
      <c r="D4" s="3">
        <f t="shared" si="0"/>
        <v>20952.36</v>
      </c>
      <c r="E4" s="3">
        <f t="shared" si="0"/>
        <v>18095.22</v>
      </c>
      <c r="F4" s="3">
        <f t="shared" si="0"/>
        <v>19999.98</v>
      </c>
      <c r="H4">
        <f>SUM(A5:A7,B5:F5)</f>
        <v>120070</v>
      </c>
    </row>
    <row r="5" spans="1:10" ht="16.5" thickBot="1" x14ac:dyDescent="0.4">
      <c r="A5" s="3">
        <v>20000</v>
      </c>
      <c r="B5" s="4">
        <v>20000</v>
      </c>
      <c r="C5" s="7">
        <v>20000</v>
      </c>
      <c r="D5" s="4">
        <v>20000</v>
      </c>
      <c r="E5" s="4">
        <v>20000</v>
      </c>
      <c r="F5" s="4">
        <v>20000</v>
      </c>
    </row>
    <row r="6" spans="1:10" ht="16.5" thickBot="1" x14ac:dyDescent="0.4">
      <c r="A6" s="3">
        <v>10</v>
      </c>
      <c r="B6" s="4"/>
      <c r="C6" s="7"/>
      <c r="D6" s="4"/>
      <c r="E6" s="4"/>
      <c r="F6" s="4"/>
    </row>
    <row r="7" spans="1:10" ht="16.5" thickBot="1" x14ac:dyDescent="0.4">
      <c r="A7" s="3">
        <v>60</v>
      </c>
      <c r="B7" s="4"/>
      <c r="C7" s="7"/>
      <c r="D7" s="4"/>
      <c r="E7" s="4"/>
      <c r="F7" s="4"/>
    </row>
    <row r="8" spans="1:10" x14ac:dyDescent="0.35">
      <c r="A8">
        <f>(A5/A3)*A2</f>
        <v>24000</v>
      </c>
      <c r="B8">
        <f>(B5/B3)*B2</f>
        <v>21052.631578947367</v>
      </c>
      <c r="C8" s="6">
        <f>(C5/C3)*C2</f>
        <v>20000</v>
      </c>
      <c r="D8">
        <f t="shared" ref="D8:F8" si="1">(D5/D3)*D2</f>
        <v>17272.727272727272</v>
      </c>
      <c r="E8">
        <f t="shared" si="1"/>
        <v>21052.631578947367</v>
      </c>
      <c r="F8">
        <f t="shared" si="1"/>
        <v>20000</v>
      </c>
      <c r="H8">
        <f>SUM(A8:F8)</f>
        <v>123377.99043062201</v>
      </c>
      <c r="I8">
        <f>H8+10000+60000</f>
        <v>193377.99043062201</v>
      </c>
      <c r="J8">
        <f>I8/6</f>
        <v>32229.665071770334</v>
      </c>
    </row>
    <row r="10" spans="1:10" ht="15" thickBot="1" x14ac:dyDescent="0.4"/>
    <row r="11" spans="1:10" ht="160.5" thickBot="1" x14ac:dyDescent="0.4">
      <c r="A11" s="1"/>
      <c r="B11" s="2" t="s">
        <v>6</v>
      </c>
      <c r="C11" s="5" t="s">
        <v>7</v>
      </c>
      <c r="D11" s="2" t="s">
        <v>8</v>
      </c>
      <c r="E11" s="2" t="s">
        <v>9</v>
      </c>
      <c r="F11" s="9" t="s">
        <v>20</v>
      </c>
    </row>
    <row r="12" spans="1:10" ht="16.5" thickBot="1" x14ac:dyDescent="0.4">
      <c r="A12" s="3" t="s">
        <v>10</v>
      </c>
      <c r="B12" s="4">
        <v>1</v>
      </c>
      <c r="C12" s="7">
        <v>4.2</v>
      </c>
      <c r="D12" s="4">
        <f>$H$15*C12</f>
        <v>84100.921105326401</v>
      </c>
      <c r="E12" s="4">
        <f>D12/$J$12</f>
        <v>500.60072086503811</v>
      </c>
      <c r="F12">
        <f>B12*C12</f>
        <v>4.2</v>
      </c>
      <c r="H12">
        <v>1250000</v>
      </c>
      <c r="J12">
        <v>168</v>
      </c>
    </row>
    <row r="13" spans="1:10" ht="16.5" thickBot="1" x14ac:dyDescent="0.4">
      <c r="A13" s="3" t="s">
        <v>13</v>
      </c>
      <c r="B13" s="4">
        <v>1</v>
      </c>
      <c r="C13" s="7">
        <v>3.8</v>
      </c>
      <c r="D13" s="4">
        <f t="shared" ref="D13:D21" si="2">$H$15*C13</f>
        <v>76091.309571485777</v>
      </c>
      <c r="E13" s="4">
        <f t="shared" ref="E13:E21" si="3">D13/$J$12</f>
        <v>452.92446173503441</v>
      </c>
      <c r="F13">
        <f t="shared" ref="F13:F21" si="4">B13*C13</f>
        <v>3.8</v>
      </c>
    </row>
    <row r="14" spans="1:10" ht="16.5" thickBot="1" x14ac:dyDescent="0.4">
      <c r="A14" s="3" t="s">
        <v>14</v>
      </c>
      <c r="B14" s="4">
        <v>1</v>
      </c>
      <c r="C14" s="7">
        <v>3.7</v>
      </c>
      <c r="D14" s="4">
        <f t="shared" si="2"/>
        <v>74088.906688025629</v>
      </c>
      <c r="E14" s="4">
        <f t="shared" si="3"/>
        <v>441.00539695253349</v>
      </c>
      <c r="F14">
        <f t="shared" si="4"/>
        <v>3.7</v>
      </c>
      <c r="H14">
        <f>H12/B23</f>
        <v>52631.57894736842</v>
      </c>
    </row>
    <row r="15" spans="1:10" ht="16.5" thickBot="1" x14ac:dyDescent="0.4">
      <c r="A15" s="3" t="s">
        <v>12</v>
      </c>
      <c r="B15" s="4">
        <v>10</v>
      </c>
      <c r="C15" s="7">
        <v>3</v>
      </c>
      <c r="D15" s="4">
        <f t="shared" si="2"/>
        <v>60072.086503804567</v>
      </c>
      <c r="E15" s="4">
        <f t="shared" si="3"/>
        <v>357.57194347502718</v>
      </c>
      <c r="F15">
        <f t="shared" si="4"/>
        <v>30</v>
      </c>
      <c r="H15">
        <f>H12/F23</f>
        <v>20024.028834601522</v>
      </c>
    </row>
    <row r="16" spans="1:10" ht="16.5" thickBot="1" x14ac:dyDescent="0.4">
      <c r="A16" t="s">
        <v>11</v>
      </c>
      <c r="B16" s="9">
        <v>5</v>
      </c>
      <c r="C16" s="6">
        <v>2.2000000000000002</v>
      </c>
      <c r="D16" s="4">
        <f t="shared" si="2"/>
        <v>44052.863436123349</v>
      </c>
      <c r="E16" s="4">
        <f t="shared" si="3"/>
        <v>262.21942521501995</v>
      </c>
      <c r="F16">
        <f t="shared" si="4"/>
        <v>11</v>
      </c>
    </row>
    <row r="17" spans="1:8" ht="16.5" thickBot="1" x14ac:dyDescent="0.4">
      <c r="A17" s="10" t="s">
        <v>15</v>
      </c>
      <c r="B17" s="9">
        <v>2</v>
      </c>
      <c r="C17" s="6">
        <v>1.9</v>
      </c>
      <c r="D17" s="4">
        <f t="shared" si="2"/>
        <v>38045.654785742889</v>
      </c>
      <c r="E17" s="4">
        <f t="shared" si="3"/>
        <v>226.46223086751721</v>
      </c>
      <c r="F17">
        <f t="shared" si="4"/>
        <v>3.8</v>
      </c>
    </row>
    <row r="18" spans="1:8" ht="16.5" thickBot="1" x14ac:dyDescent="0.4">
      <c r="A18" s="10" t="s">
        <v>16</v>
      </c>
      <c r="B18" s="9">
        <v>0.75</v>
      </c>
      <c r="C18" s="6">
        <v>1.7</v>
      </c>
      <c r="D18" s="4">
        <f t="shared" si="2"/>
        <v>34040.849018822584</v>
      </c>
      <c r="E18" s="4">
        <f t="shared" si="3"/>
        <v>202.62410130251538</v>
      </c>
      <c r="F18">
        <f t="shared" si="4"/>
        <v>1.2749999999999999</v>
      </c>
    </row>
    <row r="19" spans="1:8" ht="16.5" thickBot="1" x14ac:dyDescent="0.4">
      <c r="A19" s="10" t="s">
        <v>17</v>
      </c>
      <c r="B19" s="9">
        <v>2</v>
      </c>
      <c r="C19" s="6">
        <v>1.6</v>
      </c>
      <c r="D19" s="4">
        <f t="shared" si="2"/>
        <v>32038.446135362436</v>
      </c>
      <c r="E19" s="4">
        <f t="shared" si="3"/>
        <v>190.70503652001449</v>
      </c>
      <c r="F19">
        <f t="shared" si="4"/>
        <v>3.2</v>
      </c>
    </row>
    <row r="20" spans="1:8" ht="16.5" thickBot="1" x14ac:dyDescent="0.4">
      <c r="A20" s="10" t="s">
        <v>18</v>
      </c>
      <c r="B20" s="9">
        <v>0.5</v>
      </c>
      <c r="C20" s="6">
        <v>1.5</v>
      </c>
      <c r="D20" s="4">
        <f t="shared" si="2"/>
        <v>30036.043251902283</v>
      </c>
      <c r="E20" s="4">
        <f t="shared" si="3"/>
        <v>178.78597173751359</v>
      </c>
      <c r="F20">
        <f t="shared" si="4"/>
        <v>0.75</v>
      </c>
    </row>
    <row r="21" spans="1:8" ht="16.5" thickBot="1" x14ac:dyDescent="0.4">
      <c r="A21" s="10" t="s">
        <v>19</v>
      </c>
      <c r="B21" s="9">
        <v>0.5</v>
      </c>
      <c r="C21" s="6">
        <v>1.4</v>
      </c>
      <c r="D21" s="4">
        <f t="shared" si="2"/>
        <v>28033.640368442131</v>
      </c>
      <c r="E21" s="4">
        <f t="shared" si="3"/>
        <v>166.86690695501269</v>
      </c>
      <c r="F21">
        <f t="shared" si="4"/>
        <v>0.7</v>
      </c>
    </row>
    <row r="23" spans="1:8" x14ac:dyDescent="0.35">
      <c r="B23" s="6">
        <f>SUM(B12:B21)</f>
        <v>23.75</v>
      </c>
      <c r="C23" s="6">
        <f>SUM(C12:C21)</f>
        <v>24.999999999999996</v>
      </c>
      <c r="D23" s="6"/>
      <c r="E23" s="6"/>
      <c r="F23" s="6">
        <f t="shared" ref="D23:F23" si="5">SUM(F12:F21)</f>
        <v>62.425000000000004</v>
      </c>
      <c r="G23" t="s">
        <v>21</v>
      </c>
    </row>
    <row r="26" spans="1:8" x14ac:dyDescent="0.35">
      <c r="A26" t="s">
        <v>21</v>
      </c>
      <c r="C26">
        <v>62.425000000000004</v>
      </c>
    </row>
    <row r="30" spans="1:8" ht="15" thickBot="1" x14ac:dyDescent="0.4"/>
    <row r="31" spans="1:8" ht="32.5" thickBot="1" x14ac:dyDescent="0.4">
      <c r="A31" s="1"/>
      <c r="B31" s="2" t="s">
        <v>22</v>
      </c>
      <c r="C31" s="2" t="s">
        <v>23</v>
      </c>
      <c r="D31" s="2" t="s">
        <v>24</v>
      </c>
      <c r="E31" s="2" t="s">
        <v>25</v>
      </c>
      <c r="F31" s="2" t="s">
        <v>26</v>
      </c>
      <c r="H31" s="10" t="s">
        <v>32</v>
      </c>
    </row>
    <row r="32" spans="1:8" ht="16.5" thickBot="1" x14ac:dyDescent="0.4">
      <c r="A32" s="3" t="s">
        <v>27</v>
      </c>
      <c r="B32" s="4">
        <v>40</v>
      </c>
      <c r="C32" s="4">
        <v>168</v>
      </c>
      <c r="D32" s="4">
        <v>40</v>
      </c>
      <c r="E32" s="4">
        <f>D32*1.03</f>
        <v>41.2</v>
      </c>
      <c r="F32" s="4"/>
    </row>
    <row r="33" spans="1:6" ht="16.5" thickBot="1" x14ac:dyDescent="0.4">
      <c r="A33" s="3" t="s">
        <v>28</v>
      </c>
      <c r="B33" s="4">
        <v>38</v>
      </c>
      <c r="C33" s="4">
        <v>171</v>
      </c>
      <c r="D33" s="4">
        <v>39.017000000000003</v>
      </c>
      <c r="E33" s="4">
        <f t="shared" ref="E33:E36" si="6">D33*1.03</f>
        <v>40.187510000000003</v>
      </c>
      <c r="F33" s="4"/>
    </row>
    <row r="34" spans="1:6" ht="16.5" thickBot="1" x14ac:dyDescent="0.4">
      <c r="A34" s="3" t="s">
        <v>29</v>
      </c>
      <c r="B34" s="4">
        <v>35</v>
      </c>
      <c r="C34" s="4">
        <v>176</v>
      </c>
      <c r="D34" s="4">
        <v>38.332999999999998</v>
      </c>
      <c r="E34" s="4">
        <f t="shared" si="6"/>
        <v>39.482990000000001</v>
      </c>
      <c r="F34" s="4"/>
    </row>
    <row r="35" spans="1:6" ht="16.5" thickBot="1" x14ac:dyDescent="0.4">
      <c r="A35" s="3" t="s">
        <v>30</v>
      </c>
      <c r="B35" s="4">
        <v>30</v>
      </c>
      <c r="C35" s="4">
        <v>172</v>
      </c>
      <c r="D35" s="4">
        <v>31.71</v>
      </c>
      <c r="E35" s="4">
        <f t="shared" si="6"/>
        <v>32.661300000000004</v>
      </c>
      <c r="F35" s="4"/>
    </row>
    <row r="36" spans="1:6" ht="16.5" thickBot="1" x14ac:dyDescent="0.4">
      <c r="A36" s="3" t="s">
        <v>31</v>
      </c>
      <c r="B36" s="4">
        <v>28</v>
      </c>
      <c r="C36" s="4">
        <v>160</v>
      </c>
      <c r="D36" s="4">
        <v>26.66</v>
      </c>
      <c r="E36" s="4">
        <f t="shared" si="6"/>
        <v>27.459800000000001</v>
      </c>
      <c r="F36" s="4"/>
    </row>
    <row r="37" spans="1:6" x14ac:dyDescent="0.35">
      <c r="C37" s="6">
        <f>SUM(C32:C36)</f>
        <v>847</v>
      </c>
      <c r="D37" s="6">
        <f>SUM(D32:D36)</f>
        <v>175.72</v>
      </c>
      <c r="E37" s="6">
        <f>F37-D37</f>
        <v>5.7680000000000007</v>
      </c>
      <c r="F37">
        <v>181.488</v>
      </c>
    </row>
    <row r="38" spans="1:6" x14ac:dyDescent="0.35">
      <c r="B38">
        <f>SUM(B32:B36)</f>
        <v>171</v>
      </c>
      <c r="E38">
        <v>1.03</v>
      </c>
    </row>
    <row r="39" spans="1:6" x14ac:dyDescent="0.35">
      <c r="C39">
        <v>45.6</v>
      </c>
      <c r="D39">
        <v>181.488</v>
      </c>
    </row>
    <row r="43" spans="1:6" x14ac:dyDescent="0.35">
      <c r="B43">
        <v>45000</v>
      </c>
      <c r="C43"/>
    </row>
    <row r="44" spans="1:6" x14ac:dyDescent="0.35">
      <c r="B44">
        <f>B43/12</f>
        <v>3750</v>
      </c>
      <c r="C44">
        <v>3980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Nano</dc:creator>
  <cp:lastModifiedBy>Nano</cp:lastModifiedBy>
  <dcterms:created xsi:type="dcterms:W3CDTF">2015-06-05T18:19:34Z</dcterms:created>
  <dcterms:modified xsi:type="dcterms:W3CDTF">2026-03-21T12:47:28Z</dcterms:modified>
</cp:coreProperties>
</file>