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Институт\"/>
    </mc:Choice>
  </mc:AlternateContent>
  <bookViews>
    <workbookView xWindow="0" yWindow="0" windowWidth="28800" windowHeight="1233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E8" i="1" l="1"/>
  <c r="E7" i="1"/>
  <c r="E6" i="1"/>
  <c r="E5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B3" i="1"/>
  <c r="W2" i="1"/>
</calcChain>
</file>

<file path=xl/sharedStrings.xml><?xml version="1.0" encoding="utf-8"?>
<sst xmlns="http://schemas.openxmlformats.org/spreadsheetml/2006/main" count="10" uniqueCount="10">
  <si>
    <t xml:space="preserve">среднее значение </t>
  </si>
  <si>
    <t>M(x)</t>
  </si>
  <si>
    <t>D(x)</t>
  </si>
  <si>
    <t xml:space="preserve">отклонение(x) </t>
  </si>
  <si>
    <t>Х</t>
  </si>
  <si>
    <t>объём выборки</t>
  </si>
  <si>
    <t>мода</t>
  </si>
  <si>
    <t xml:space="preserve">медиана </t>
  </si>
  <si>
    <t xml:space="preserve">среднее выборочное </t>
  </si>
  <si>
    <t>4.(4)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</si>
</sst>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5782407407407409"/>
          <c:w val="0.915530183727034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Лист2!$B$9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Лист2!$C$8:$F$8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cat>
          <c:val>
            <c:numRef>
              <c:f>Лист2!$C$9:$F$9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4-4A60-8B97-BDDEBDB9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321536"/>
        <c:axId val="380319896"/>
      </c:lineChart>
      <c:catAx>
        <c:axId val="3803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319896"/>
        <c:crosses val="autoZero"/>
        <c:auto val="1"/>
        <c:lblAlgn val="ctr"/>
        <c:lblOffset val="100"/>
        <c:noMultiLvlLbl val="0"/>
      </c:catAx>
      <c:valAx>
        <c:axId val="38031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32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8</xdr:row>
          <xdr:rowOff>0</xdr:rowOff>
        </xdr:from>
        <xdr:to>
          <xdr:col>1</xdr:col>
          <xdr:colOff>152400</xdr:colOff>
          <xdr:row>8</xdr:row>
          <xdr:rowOff>228600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8</xdr:row>
          <xdr:rowOff>0</xdr:rowOff>
        </xdr:from>
        <xdr:to>
          <xdr:col>1</xdr:col>
          <xdr:colOff>152400</xdr:colOff>
          <xdr:row>8</xdr:row>
          <xdr:rowOff>228600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9525</xdr:colOff>
      <xdr:row>7</xdr:row>
      <xdr:rowOff>0</xdr:rowOff>
    </xdr:from>
    <xdr:to>
      <xdr:col>14</xdr:col>
      <xdr:colOff>314325</xdr:colOff>
      <xdr:row>20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8"/>
  <sheetViews>
    <sheetView workbookViewId="0">
      <selection activeCell="H10" sqref="H10"/>
    </sheetView>
  </sheetViews>
  <sheetFormatPr defaultRowHeight="15" x14ac:dyDescent="0.25"/>
  <cols>
    <col min="5" max="5" width="12.7109375" bestFit="1" customWidth="1"/>
  </cols>
  <sheetData>
    <row r="2" spans="2:23" x14ac:dyDescent="0.25">
      <c r="B2">
        <v>5000</v>
      </c>
      <c r="C2">
        <v>7000</v>
      </c>
      <c r="D2">
        <v>8500</v>
      </c>
      <c r="E2">
        <v>12000</v>
      </c>
      <c r="F2">
        <v>9500</v>
      </c>
      <c r="G2">
        <v>10000</v>
      </c>
      <c r="H2">
        <v>7000</v>
      </c>
      <c r="I2">
        <v>12400</v>
      </c>
      <c r="J2">
        <v>13600</v>
      </c>
      <c r="K2">
        <v>8000</v>
      </c>
      <c r="L2">
        <v>6900</v>
      </c>
      <c r="M2">
        <v>8700</v>
      </c>
      <c r="N2">
        <v>15000</v>
      </c>
      <c r="O2">
        <v>13700</v>
      </c>
      <c r="P2">
        <v>10200</v>
      </c>
      <c r="Q2">
        <v>11000</v>
      </c>
      <c r="R2">
        <v>11700</v>
      </c>
      <c r="S2">
        <v>18000</v>
      </c>
      <c r="T2">
        <v>9400</v>
      </c>
      <c r="U2">
        <v>17000</v>
      </c>
      <c r="W2">
        <f>SUM(B2:U2)</f>
        <v>214600</v>
      </c>
    </row>
    <row r="3" spans="2:23" x14ac:dyDescent="0.25">
      <c r="B3">
        <f>B2/$W$2</f>
        <v>2.3299161230195712E-2</v>
      </c>
      <c r="C3">
        <f t="shared" ref="C3:U3" si="0">C2/$W$2</f>
        <v>3.2618825722273995E-2</v>
      </c>
      <c r="D3">
        <f t="shared" si="0"/>
        <v>3.9608574091332713E-2</v>
      </c>
      <c r="E3">
        <f t="shared" si="0"/>
        <v>5.591798695246971E-2</v>
      </c>
      <c r="F3">
        <f t="shared" si="0"/>
        <v>4.4268406337371856E-2</v>
      </c>
      <c r="G3">
        <f t="shared" si="0"/>
        <v>4.6598322460391424E-2</v>
      </c>
      <c r="H3">
        <f t="shared" si="0"/>
        <v>3.2618825722273995E-2</v>
      </c>
      <c r="I3">
        <f t="shared" si="0"/>
        <v>5.778191985088537E-2</v>
      </c>
      <c r="J3">
        <f t="shared" si="0"/>
        <v>6.3373718546132343E-2</v>
      </c>
      <c r="K3">
        <f t="shared" si="0"/>
        <v>3.7278657968313138E-2</v>
      </c>
      <c r="L3">
        <f t="shared" si="0"/>
        <v>3.2152842497670087E-2</v>
      </c>
      <c r="M3">
        <f t="shared" si="0"/>
        <v>4.0540540540540543E-2</v>
      </c>
      <c r="N3">
        <f t="shared" si="0"/>
        <v>6.9897483690587139E-2</v>
      </c>
      <c r="O3">
        <f t="shared" si="0"/>
        <v>6.3839701770736251E-2</v>
      </c>
      <c r="P3">
        <f t="shared" si="0"/>
        <v>4.7530288909599254E-2</v>
      </c>
      <c r="Q3">
        <f t="shared" si="0"/>
        <v>5.1258154706430567E-2</v>
      </c>
      <c r="R3">
        <f t="shared" si="0"/>
        <v>5.4520037278657965E-2</v>
      </c>
      <c r="S3">
        <f t="shared" si="0"/>
        <v>8.3876980428704562E-2</v>
      </c>
      <c r="T3">
        <f t="shared" si="0"/>
        <v>4.3802423112767941E-2</v>
      </c>
      <c r="U3">
        <f t="shared" si="0"/>
        <v>7.9217148182665426E-2</v>
      </c>
    </row>
    <row r="5" spans="2:23" x14ac:dyDescent="0.25">
      <c r="B5" s="5" t="s">
        <v>0</v>
      </c>
      <c r="C5" s="5"/>
      <c r="E5">
        <f>SUM(B2:U2)/20</f>
        <v>10730</v>
      </c>
    </row>
    <row r="6" spans="2:23" x14ac:dyDescent="0.25">
      <c r="B6" s="5" t="s">
        <v>1</v>
      </c>
      <c r="C6" s="5"/>
      <c r="E6">
        <f>(B2*B3+C2*C3+D2*D3+E2*E3+F2*F3+G2*G3+H2*H3+I2*I3+J2*J3+K2*K3+L2*L3+M2*M3+N2*N3+O2*O3+P2*P3+Q2*Q3+R2*R3+S2*S3+T2*T3+U2*U3)</f>
        <v>11796.36533084809</v>
      </c>
    </row>
    <row r="7" spans="2:23" x14ac:dyDescent="0.25">
      <c r="B7" s="5" t="s">
        <v>2</v>
      </c>
      <c r="C7" s="5"/>
      <c r="E7">
        <f>(B2^2*B3+C2^2*C3+D2^2*D3+E2^2*E3+F2^2*F3+G2^2*G3+H2^2*H3+I2^2*I3+J2^2*J3+K2^2*K3+L2^2*L3+M2^2*M3+N2^2*N3+O2^2*O3+P2^2*P3+Q2^2*Q3+R2^2*R3+S2^2*S3+T2^2*T3+U2^2*U3) - E6^2</f>
        <v>12044972.809683383</v>
      </c>
    </row>
    <row r="8" spans="2:23" x14ac:dyDescent="0.25">
      <c r="B8" s="5" t="s">
        <v>3</v>
      </c>
      <c r="C8" s="5"/>
      <c r="E8">
        <f>SQRT(E7)</f>
        <v>3470.5868105672539</v>
      </c>
    </row>
  </sheetData>
  <mergeCells count="4">
    <mergeCell ref="B5:C5"/>
    <mergeCell ref="B6:C6"/>
    <mergeCell ref="B7:C7"/>
    <mergeCell ref="B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7:F18"/>
  <sheetViews>
    <sheetView tabSelected="1" workbookViewId="0">
      <selection activeCell="Q10" sqref="Q10"/>
    </sheetView>
  </sheetViews>
  <sheetFormatPr defaultRowHeight="15" x14ac:dyDescent="0.25"/>
  <sheetData>
    <row r="7" spans="2:6" ht="15.75" thickBot="1" x14ac:dyDescent="0.3"/>
    <row r="8" spans="2:6" ht="19.5" thickBot="1" x14ac:dyDescent="0.3">
      <c r="B8" s="1" t="s">
        <v>4</v>
      </c>
      <c r="C8" s="2">
        <v>2</v>
      </c>
      <c r="D8" s="2">
        <v>4</v>
      </c>
      <c r="E8" s="2">
        <v>5</v>
      </c>
      <c r="F8" s="2">
        <v>6</v>
      </c>
    </row>
    <row r="9" spans="2:6" ht="19.5" thickBot="1" x14ac:dyDescent="0.3">
      <c r="B9" s="3"/>
      <c r="C9" s="4">
        <v>3</v>
      </c>
      <c r="D9" s="4">
        <v>5</v>
      </c>
      <c r="E9" s="4">
        <v>6</v>
      </c>
      <c r="F9" s="4">
        <v>4</v>
      </c>
    </row>
    <row r="12" spans="2:6" x14ac:dyDescent="0.25">
      <c r="B12" s="5" t="s">
        <v>5</v>
      </c>
      <c r="C12" s="5"/>
      <c r="D12" s="5"/>
      <c r="E12">
        <f>SUM(C9:F9)</f>
        <v>18</v>
      </c>
    </row>
    <row r="14" spans="2:6" x14ac:dyDescent="0.25">
      <c r="B14" s="5" t="s">
        <v>6</v>
      </c>
      <c r="C14" s="5"/>
      <c r="D14" s="5"/>
      <c r="E14">
        <v>5</v>
      </c>
    </row>
    <row r="16" spans="2:6" x14ac:dyDescent="0.25">
      <c r="B16" s="5" t="s">
        <v>7</v>
      </c>
      <c r="C16" s="5"/>
      <c r="D16" s="5"/>
      <c r="E16">
        <v>5</v>
      </c>
    </row>
    <row r="18" spans="2:5" x14ac:dyDescent="0.25">
      <c r="B18" s="5" t="s">
        <v>8</v>
      </c>
      <c r="C18" s="5"/>
      <c r="D18" s="5"/>
      <c r="E18" t="s">
        <v>9</v>
      </c>
    </row>
  </sheetData>
  <mergeCells count="4">
    <mergeCell ref="B18:D18"/>
    <mergeCell ref="B12:D12"/>
    <mergeCell ref="B14:D14"/>
    <mergeCell ref="B16:D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 siz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152400</xdr:colOff>
                <xdr:row>8</xdr:row>
                <xdr:rowOff>228600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 siz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152400</xdr:colOff>
                <xdr:row>8</xdr:row>
                <xdr:rowOff>228600</xdr:rowOff>
              </to>
            </anchor>
          </objectPr>
        </oleObject>
      </mc:Choice>
      <mc:Fallback>
        <oleObject progId="Equation.3" shapeId="205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 к</dc:creator>
  <cp:lastModifiedBy>о к</cp:lastModifiedBy>
  <dcterms:created xsi:type="dcterms:W3CDTF">2023-05-30T07:16:19Z</dcterms:created>
  <dcterms:modified xsi:type="dcterms:W3CDTF">2023-05-30T09:46:39Z</dcterms:modified>
</cp:coreProperties>
</file>