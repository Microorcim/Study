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Институт\Статистика\"/>
    </mc:Choice>
  </mc:AlternateContent>
  <bookViews>
    <workbookView xWindow="0" yWindow="0" windowWidth="28800" windowHeight="12330" activeTab="2"/>
  </bookViews>
  <sheets>
    <sheet name="1" sheetId="1" r:id="rId1"/>
    <sheet name="2" sheetId="2" r:id="rId2"/>
    <sheet name="3" sheetId="3" r:id="rId3"/>
    <sheet name="7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2" i="3"/>
  <c r="E4" i="1"/>
  <c r="G3" i="2"/>
  <c r="F24" i="3" l="1"/>
  <c r="E24" i="3"/>
  <c r="N1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2" i="3"/>
  <c r="D21" i="3"/>
  <c r="K19" i="3"/>
  <c r="D1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1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B19" i="3"/>
  <c r="G4" i="2"/>
  <c r="F4" i="2"/>
  <c r="F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G2" i="2"/>
  <c r="F2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6" i="1"/>
  <c r="E2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6" i="1"/>
</calcChain>
</file>

<file path=xl/sharedStrings.xml><?xml version="1.0" encoding="utf-8"?>
<sst xmlns="http://schemas.openxmlformats.org/spreadsheetml/2006/main" count="9" uniqueCount="7">
  <si>
    <t>Медиана</t>
  </si>
  <si>
    <t>среднее</t>
  </si>
  <si>
    <t>руками</t>
  </si>
  <si>
    <t>excel</t>
  </si>
  <si>
    <t>дисперсия</t>
  </si>
  <si>
    <t>ср кв откл</t>
  </si>
  <si>
    <t>Коррел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</si>
</sst>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'1'!$D$6:$D$19</c:f>
              <c:numCache>
                <c:formatCode>General</c:formatCode>
                <c:ptCount val="14"/>
                <c:pt idx="0">
                  <c:v>63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78</c:v>
                </c:pt>
                <c:pt idx="13">
                  <c:v>94</c:v>
                </c:pt>
              </c:numCache>
            </c:numRef>
          </c:xVal>
          <c:yVal>
            <c:numRef>
              <c:f>'1'!$E$6:$E$19</c:f>
              <c:numCache>
                <c:formatCode>General</c:formatCode>
                <c:ptCount val="14"/>
                <c:pt idx="0">
                  <c:v>2.5000000000000001E-2</c:v>
                </c:pt>
                <c:pt idx="1">
                  <c:v>0.1</c:v>
                </c:pt>
                <c:pt idx="2">
                  <c:v>2.5000000000000001E-2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0.17499999999999999</c:v>
                </c:pt>
                <c:pt idx="9">
                  <c:v>0.05</c:v>
                </c:pt>
                <c:pt idx="10">
                  <c:v>0.05</c:v>
                </c:pt>
                <c:pt idx="11">
                  <c:v>7.4999999999999997E-2</c:v>
                </c:pt>
                <c:pt idx="12">
                  <c:v>0.05</c:v>
                </c:pt>
                <c:pt idx="13">
                  <c:v>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B-4E49-8403-F5D097411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061648"/>
        <c:axId val="465056728"/>
      </c:scatterChart>
      <c:valAx>
        <c:axId val="4650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056728"/>
        <c:crosses val="autoZero"/>
        <c:crossBetween val="midCat"/>
      </c:valAx>
      <c:valAx>
        <c:axId val="46505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0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'1'!$D$6:$D$19</c:f>
              <c:numCache>
                <c:formatCode>General</c:formatCode>
                <c:ptCount val="14"/>
                <c:pt idx="0">
                  <c:v>63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78</c:v>
                </c:pt>
                <c:pt idx="13">
                  <c:v>94</c:v>
                </c:pt>
              </c:numCache>
            </c:numRef>
          </c:cat>
          <c:val>
            <c:numRef>
              <c:f>'1'!$F$6:$F$19</c:f>
              <c:numCache>
                <c:formatCode>General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0-4B55-924A-0A06C68E4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012120"/>
        <c:axId val="527013432"/>
      </c:barChart>
      <c:catAx>
        <c:axId val="52701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013432"/>
        <c:crosses val="autoZero"/>
        <c:auto val="1"/>
        <c:lblAlgn val="ctr"/>
        <c:lblOffset val="100"/>
        <c:noMultiLvlLbl val="0"/>
      </c:catAx>
      <c:valAx>
        <c:axId val="52701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012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021106736657915"/>
                  <c:y val="-0.176903980752405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'7'!$B$2:$B$11</c:f>
              <c:numCache>
                <c:formatCode>General</c:formatCode>
                <c:ptCount val="10"/>
                <c:pt idx="0">
                  <c:v>120</c:v>
                </c:pt>
                <c:pt idx="1">
                  <c:v>139</c:v>
                </c:pt>
                <c:pt idx="2">
                  <c:v>124</c:v>
                </c:pt>
                <c:pt idx="3">
                  <c:v>96</c:v>
                </c:pt>
                <c:pt idx="4">
                  <c:v>107</c:v>
                </c:pt>
                <c:pt idx="5">
                  <c:v>90</c:v>
                </c:pt>
                <c:pt idx="6">
                  <c:v>138</c:v>
                </c:pt>
                <c:pt idx="7">
                  <c:v>117</c:v>
                </c:pt>
                <c:pt idx="8">
                  <c:v>131</c:v>
                </c:pt>
                <c:pt idx="9">
                  <c:v>98</c:v>
                </c:pt>
              </c:numCache>
            </c:numRef>
          </c:xVal>
          <c:yVal>
            <c:numRef>
              <c:f>'7'!$C$2:$C$11</c:f>
              <c:numCache>
                <c:formatCode>General</c:formatCode>
                <c:ptCount val="10"/>
                <c:pt idx="0">
                  <c:v>103</c:v>
                </c:pt>
                <c:pt idx="1">
                  <c:v>122</c:v>
                </c:pt>
                <c:pt idx="2">
                  <c:v>116</c:v>
                </c:pt>
                <c:pt idx="3">
                  <c:v>106</c:v>
                </c:pt>
                <c:pt idx="4">
                  <c:v>112</c:v>
                </c:pt>
                <c:pt idx="5">
                  <c:v>145</c:v>
                </c:pt>
                <c:pt idx="6">
                  <c:v>84</c:v>
                </c:pt>
                <c:pt idx="7">
                  <c:v>105</c:v>
                </c:pt>
                <c:pt idx="8">
                  <c:v>99</c:v>
                </c:pt>
                <c:pt idx="9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E-4E6A-BB21-F73B59CB7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056072"/>
        <c:axId val="512533168"/>
      </c:scatterChart>
      <c:valAx>
        <c:axId val="46505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533168"/>
        <c:crosses val="autoZero"/>
        <c:crossBetween val="midCat"/>
      </c:valAx>
      <c:valAx>
        <c:axId val="5125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05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5</xdr:row>
      <xdr:rowOff>9525</xdr:rowOff>
    </xdr:from>
    <xdr:to>
      <xdr:col>16</xdr:col>
      <xdr:colOff>485775</xdr:colOff>
      <xdr:row>19</xdr:row>
      <xdr:rowOff>85725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20</xdr:row>
      <xdr:rowOff>57150</xdr:rowOff>
    </xdr:from>
    <xdr:to>
      <xdr:col>16</xdr:col>
      <xdr:colOff>466725</xdr:colOff>
      <xdr:row>34</xdr:row>
      <xdr:rowOff>133350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152400</xdr:rowOff>
    </xdr:from>
    <xdr:to>
      <xdr:col>12</xdr:col>
      <xdr:colOff>114300</xdr:colOff>
      <xdr:row>15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workbookViewId="0">
      <selection activeCell="I5" sqref="I5"/>
    </sheetView>
  </sheetViews>
  <sheetFormatPr defaultRowHeight="15" x14ac:dyDescent="0.25"/>
  <cols>
    <col min="2" max="2" width="9.140625" style="1"/>
  </cols>
  <sheetData>
    <row r="2" spans="2:6" x14ac:dyDescent="0.25">
      <c r="E2">
        <f>COUNT(B:B)</f>
        <v>40</v>
      </c>
    </row>
    <row r="3" spans="2:6" x14ac:dyDescent="0.25">
      <c r="B3" s="2">
        <v>73</v>
      </c>
    </row>
    <row r="4" spans="2:6" x14ac:dyDescent="0.25">
      <c r="B4" s="1">
        <v>94</v>
      </c>
      <c r="D4" t="s">
        <v>0</v>
      </c>
      <c r="E4">
        <f>MEDIAN(B3:B42)</f>
        <v>72</v>
      </c>
    </row>
    <row r="5" spans="2:6" x14ac:dyDescent="0.25">
      <c r="B5" s="1">
        <v>74</v>
      </c>
    </row>
    <row r="6" spans="2:6" x14ac:dyDescent="0.25">
      <c r="B6" s="1">
        <v>71</v>
      </c>
      <c r="D6">
        <v>63</v>
      </c>
      <c r="E6">
        <f>F6/E$2</f>
        <v>2.5000000000000001E-2</v>
      </c>
      <c r="F6">
        <f>COUNTIF(B:B,D6)</f>
        <v>1</v>
      </c>
    </row>
    <row r="7" spans="2:6" x14ac:dyDescent="0.25">
      <c r="B7" s="1">
        <v>76</v>
      </c>
      <c r="D7">
        <v>66</v>
      </c>
      <c r="E7">
        <f t="shared" ref="E7:E19" si="0">F7/E$2</f>
        <v>0.1</v>
      </c>
      <c r="F7">
        <f t="shared" ref="F7:F19" si="1">COUNTIF(B:B,D7)</f>
        <v>4</v>
      </c>
    </row>
    <row r="8" spans="2:6" x14ac:dyDescent="0.25">
      <c r="B8" s="1">
        <v>68</v>
      </c>
      <c r="D8">
        <v>67</v>
      </c>
      <c r="E8">
        <f t="shared" si="0"/>
        <v>2.5000000000000001E-2</v>
      </c>
      <c r="F8">
        <f t="shared" si="1"/>
        <v>1</v>
      </c>
    </row>
    <row r="9" spans="2:6" x14ac:dyDescent="0.25">
      <c r="B9" s="1">
        <v>69</v>
      </c>
      <c r="D9">
        <v>68</v>
      </c>
      <c r="E9">
        <f t="shared" si="0"/>
        <v>7.4999999999999997E-2</v>
      </c>
      <c r="F9">
        <f t="shared" si="1"/>
        <v>3</v>
      </c>
    </row>
    <row r="10" spans="2:6" x14ac:dyDescent="0.25">
      <c r="B10" s="1">
        <v>75</v>
      </c>
      <c r="D10">
        <v>69</v>
      </c>
      <c r="E10">
        <f t="shared" si="0"/>
        <v>0.1</v>
      </c>
      <c r="F10">
        <f t="shared" si="1"/>
        <v>4</v>
      </c>
    </row>
    <row r="11" spans="2:6" x14ac:dyDescent="0.25">
      <c r="B11" s="1">
        <v>76</v>
      </c>
      <c r="D11">
        <v>70</v>
      </c>
      <c r="E11">
        <f t="shared" si="0"/>
        <v>0.05</v>
      </c>
      <c r="F11">
        <f t="shared" si="1"/>
        <v>2</v>
      </c>
    </row>
    <row r="12" spans="2:6" x14ac:dyDescent="0.25">
      <c r="B12" s="1">
        <v>73</v>
      </c>
      <c r="D12">
        <v>71</v>
      </c>
      <c r="E12">
        <f t="shared" si="0"/>
        <v>0.1</v>
      </c>
      <c r="F12">
        <f t="shared" si="1"/>
        <v>4</v>
      </c>
    </row>
    <row r="13" spans="2:6" x14ac:dyDescent="0.25">
      <c r="B13" s="1">
        <v>74</v>
      </c>
      <c r="D13">
        <v>72</v>
      </c>
      <c r="E13">
        <f t="shared" si="0"/>
        <v>0.1</v>
      </c>
      <c r="F13">
        <f t="shared" si="1"/>
        <v>4</v>
      </c>
    </row>
    <row r="14" spans="2:6" x14ac:dyDescent="0.25">
      <c r="B14" s="1">
        <v>78</v>
      </c>
      <c r="D14">
        <v>73</v>
      </c>
      <c r="E14">
        <f t="shared" si="0"/>
        <v>0.17499999999999999</v>
      </c>
      <c r="F14">
        <f t="shared" si="1"/>
        <v>7</v>
      </c>
    </row>
    <row r="15" spans="2:6" x14ac:dyDescent="0.25">
      <c r="B15" s="1">
        <v>66</v>
      </c>
      <c r="D15">
        <v>74</v>
      </c>
      <c r="E15">
        <f t="shared" si="0"/>
        <v>0.05</v>
      </c>
      <c r="F15">
        <f t="shared" si="1"/>
        <v>2</v>
      </c>
    </row>
    <row r="16" spans="2:6" x14ac:dyDescent="0.25">
      <c r="B16" s="1">
        <v>75</v>
      </c>
      <c r="D16">
        <v>75</v>
      </c>
      <c r="E16">
        <f t="shared" si="0"/>
        <v>0.05</v>
      </c>
      <c r="F16">
        <f t="shared" si="1"/>
        <v>2</v>
      </c>
    </row>
    <row r="17" spans="2:6" x14ac:dyDescent="0.25">
      <c r="B17" s="1">
        <v>72</v>
      </c>
      <c r="D17">
        <v>76</v>
      </c>
      <c r="E17">
        <f t="shared" si="0"/>
        <v>7.4999999999999997E-2</v>
      </c>
      <c r="F17">
        <f t="shared" si="1"/>
        <v>3</v>
      </c>
    </row>
    <row r="18" spans="2:6" x14ac:dyDescent="0.25">
      <c r="B18" s="1">
        <v>69</v>
      </c>
      <c r="D18">
        <v>78</v>
      </c>
      <c r="E18">
        <f t="shared" si="0"/>
        <v>0.05</v>
      </c>
      <c r="F18">
        <f t="shared" si="1"/>
        <v>2</v>
      </c>
    </row>
    <row r="19" spans="2:6" x14ac:dyDescent="0.25">
      <c r="B19" s="1">
        <v>68</v>
      </c>
      <c r="D19">
        <v>94</v>
      </c>
      <c r="E19">
        <f t="shared" si="0"/>
        <v>2.5000000000000001E-2</v>
      </c>
      <c r="F19">
        <f t="shared" si="1"/>
        <v>1</v>
      </c>
    </row>
    <row r="20" spans="2:6" x14ac:dyDescent="0.25">
      <c r="B20" s="1">
        <v>63</v>
      </c>
    </row>
    <row r="21" spans="2:6" x14ac:dyDescent="0.25">
      <c r="B21" s="1">
        <v>70</v>
      </c>
    </row>
    <row r="22" spans="2:6" x14ac:dyDescent="0.25">
      <c r="B22" s="1">
        <v>70</v>
      </c>
    </row>
    <row r="23" spans="2:6" x14ac:dyDescent="0.25">
      <c r="B23" s="1">
        <v>78</v>
      </c>
    </row>
    <row r="24" spans="2:6" x14ac:dyDescent="0.25">
      <c r="B24" s="1">
        <v>76</v>
      </c>
    </row>
    <row r="25" spans="2:6" x14ac:dyDescent="0.25">
      <c r="B25" s="1">
        <v>73</v>
      </c>
    </row>
    <row r="26" spans="2:6" x14ac:dyDescent="0.25">
      <c r="B26" s="1">
        <v>73</v>
      </c>
    </row>
    <row r="27" spans="2:6" x14ac:dyDescent="0.25">
      <c r="B27" s="1">
        <v>67</v>
      </c>
    </row>
    <row r="28" spans="2:6" x14ac:dyDescent="0.25">
      <c r="B28" s="1">
        <v>71</v>
      </c>
    </row>
    <row r="29" spans="2:6" x14ac:dyDescent="0.25">
      <c r="B29" s="1">
        <v>66</v>
      </c>
    </row>
    <row r="30" spans="2:6" x14ac:dyDescent="0.25">
      <c r="B30" s="1">
        <v>66</v>
      </c>
    </row>
    <row r="31" spans="2:6" x14ac:dyDescent="0.25">
      <c r="B31" s="1">
        <v>72</v>
      </c>
    </row>
    <row r="32" spans="2:6" x14ac:dyDescent="0.25">
      <c r="B32" s="1">
        <v>69</v>
      </c>
    </row>
    <row r="33" spans="2:2" x14ac:dyDescent="0.25">
      <c r="B33" s="1">
        <v>71</v>
      </c>
    </row>
    <row r="34" spans="2:2" x14ac:dyDescent="0.25">
      <c r="B34" s="1">
        <v>71</v>
      </c>
    </row>
    <row r="35" spans="2:2" x14ac:dyDescent="0.25">
      <c r="B35" s="1">
        <v>68</v>
      </c>
    </row>
    <row r="36" spans="2:2" x14ac:dyDescent="0.25">
      <c r="B36" s="1">
        <v>72</v>
      </c>
    </row>
    <row r="37" spans="2:2" x14ac:dyDescent="0.25">
      <c r="B37" s="1">
        <v>69</v>
      </c>
    </row>
    <row r="38" spans="2:2" x14ac:dyDescent="0.25">
      <c r="B38" s="1">
        <v>73</v>
      </c>
    </row>
    <row r="39" spans="2:2" x14ac:dyDescent="0.25">
      <c r="B39" s="1">
        <v>73</v>
      </c>
    </row>
    <row r="40" spans="2:2" x14ac:dyDescent="0.25">
      <c r="B40" s="1">
        <v>66</v>
      </c>
    </row>
    <row r="41" spans="2:2" x14ac:dyDescent="0.25">
      <c r="B41" s="1">
        <v>72</v>
      </c>
    </row>
    <row r="42" spans="2:2" x14ac:dyDescent="0.25">
      <c r="B42" s="1">
        <v>73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workbookViewId="0">
      <selection activeCell="F22" sqref="F22:F23"/>
    </sheetView>
  </sheetViews>
  <sheetFormatPr defaultRowHeight="15" x14ac:dyDescent="0.25"/>
  <cols>
    <col min="5" max="5" width="10.5703125" bestFit="1" customWidth="1"/>
  </cols>
  <sheetData>
    <row r="1" spans="2:7" x14ac:dyDescent="0.25">
      <c r="F1" t="s">
        <v>2</v>
      </c>
      <c r="G1" t="s">
        <v>3</v>
      </c>
    </row>
    <row r="2" spans="2:7" x14ac:dyDescent="0.25">
      <c r="B2">
        <v>61</v>
      </c>
      <c r="C2">
        <f>POWER(B2-F$2,2)</f>
        <v>51.12250000000008</v>
      </c>
      <c r="E2" t="s">
        <v>1</v>
      </c>
      <c r="F2">
        <f>SUM(B:B)/COUNT(B:B)</f>
        <v>68.150000000000006</v>
      </c>
      <c r="G2">
        <f>AVERAGE(B2:B21)</f>
        <v>68.150000000000006</v>
      </c>
    </row>
    <row r="3" spans="2:7" x14ac:dyDescent="0.25">
      <c r="B3">
        <v>62</v>
      </c>
      <c r="C3">
        <f t="shared" ref="C3:C21" si="0">POWER(B3-F$2,2)</f>
        <v>37.822500000000069</v>
      </c>
      <c r="E3" t="s">
        <v>4</v>
      </c>
      <c r="F3">
        <f>SUM(C2:C21)</f>
        <v>650.55000000000007</v>
      </c>
      <c r="G3">
        <f>_xlfn.VAR.P(B2:B21)</f>
        <v>32.527500000000003</v>
      </c>
    </row>
    <row r="4" spans="2:7" x14ac:dyDescent="0.25">
      <c r="B4">
        <v>63</v>
      </c>
      <c r="C4">
        <f t="shared" si="0"/>
        <v>26.522500000000058</v>
      </c>
      <c r="E4" t="s">
        <v>5</v>
      </c>
      <c r="F4">
        <f>SQRT(F3/COUNT(C:C))</f>
        <v>5.7032885250528933</v>
      </c>
      <c r="G4">
        <f>_xlfn.STDEV.P(B2:B21)</f>
        <v>5.7032885250528933</v>
      </c>
    </row>
    <row r="5" spans="2:7" x14ac:dyDescent="0.25">
      <c r="B5">
        <v>71</v>
      </c>
      <c r="C5">
        <f t="shared" si="0"/>
        <v>8.1224999999999667</v>
      </c>
    </row>
    <row r="6" spans="2:7" x14ac:dyDescent="0.25">
      <c r="B6">
        <v>65</v>
      </c>
      <c r="C6">
        <f t="shared" si="0"/>
        <v>9.922500000000035</v>
      </c>
    </row>
    <row r="7" spans="2:7" x14ac:dyDescent="0.25">
      <c r="B7">
        <v>70</v>
      </c>
      <c r="C7">
        <f t="shared" si="0"/>
        <v>3.422499999999979</v>
      </c>
    </row>
    <row r="8" spans="2:7" x14ac:dyDescent="0.25">
      <c r="B8">
        <v>70</v>
      </c>
      <c r="C8">
        <f t="shared" si="0"/>
        <v>3.422499999999979</v>
      </c>
    </row>
    <row r="9" spans="2:7" x14ac:dyDescent="0.25">
      <c r="B9">
        <v>63</v>
      </c>
      <c r="C9">
        <f t="shared" si="0"/>
        <v>26.522500000000058</v>
      </c>
    </row>
    <row r="10" spans="2:7" x14ac:dyDescent="0.25">
      <c r="B10">
        <v>73</v>
      </c>
      <c r="C10">
        <f t="shared" si="0"/>
        <v>23.522499999999944</v>
      </c>
    </row>
    <row r="11" spans="2:7" x14ac:dyDescent="0.25">
      <c r="B11">
        <v>68</v>
      </c>
      <c r="C11">
        <f t="shared" si="0"/>
        <v>2.2500000000001706E-2</v>
      </c>
    </row>
    <row r="12" spans="2:7" x14ac:dyDescent="0.25">
      <c r="B12">
        <v>59</v>
      </c>
      <c r="C12">
        <f t="shared" si="0"/>
        <v>83.72250000000011</v>
      </c>
    </row>
    <row r="13" spans="2:7" x14ac:dyDescent="0.25">
      <c r="B13">
        <v>64</v>
      </c>
      <c r="C13">
        <f t="shared" si="0"/>
        <v>17.222500000000046</v>
      </c>
    </row>
    <row r="14" spans="2:7" x14ac:dyDescent="0.25">
      <c r="B14">
        <v>79</v>
      </c>
      <c r="C14">
        <f t="shared" si="0"/>
        <v>117.72249999999988</v>
      </c>
    </row>
    <row r="15" spans="2:7" x14ac:dyDescent="0.25">
      <c r="B15">
        <v>77</v>
      </c>
      <c r="C15">
        <f t="shared" si="0"/>
        <v>78.322499999999906</v>
      </c>
    </row>
    <row r="16" spans="2:7" x14ac:dyDescent="0.25">
      <c r="B16">
        <v>78</v>
      </c>
      <c r="C16">
        <f t="shared" si="0"/>
        <v>97.022499999999894</v>
      </c>
    </row>
    <row r="17" spans="2:3" x14ac:dyDescent="0.25">
      <c r="B17">
        <v>66</v>
      </c>
      <c r="C17">
        <f t="shared" si="0"/>
        <v>4.6225000000000245</v>
      </c>
    </row>
    <row r="18" spans="2:3" x14ac:dyDescent="0.25">
      <c r="B18">
        <v>63</v>
      </c>
      <c r="C18">
        <f t="shared" si="0"/>
        <v>26.522500000000058</v>
      </c>
    </row>
    <row r="19" spans="2:3" x14ac:dyDescent="0.25">
      <c r="B19">
        <v>69</v>
      </c>
      <c r="C19">
        <f t="shared" si="0"/>
        <v>0.72249999999999037</v>
      </c>
    </row>
    <row r="20" spans="2:3" x14ac:dyDescent="0.25">
      <c r="B20">
        <v>74</v>
      </c>
      <c r="C20">
        <f t="shared" si="0"/>
        <v>34.222499999999933</v>
      </c>
    </row>
    <row r="21" spans="2:3" x14ac:dyDescent="0.25">
      <c r="B21">
        <v>68</v>
      </c>
      <c r="C21">
        <f t="shared" si="0"/>
        <v>2.2500000000001706E-2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"/>
  <sheetViews>
    <sheetView tabSelected="1" workbookViewId="0">
      <selection activeCell="Q14" sqref="Q14"/>
    </sheetView>
  </sheetViews>
  <sheetFormatPr defaultRowHeight="15" x14ac:dyDescent="0.25"/>
  <sheetData>
    <row r="2" spans="2:15" x14ac:dyDescent="0.25">
      <c r="B2">
        <v>103</v>
      </c>
      <c r="C2">
        <f>B2-B$19</f>
        <v>-9.2000000000000028</v>
      </c>
      <c r="D2">
        <f>POWER(C2,2)</f>
        <v>84.640000000000057</v>
      </c>
      <c r="I2">
        <v>120</v>
      </c>
      <c r="J2">
        <f>I2-I$19</f>
        <v>3.4666666666666686</v>
      </c>
      <c r="K2">
        <f>POWER(J2,2)</f>
        <v>12.017777777777791</v>
      </c>
      <c r="N2">
        <f>C2*J2</f>
        <v>-31.893333333333359</v>
      </c>
      <c r="O2">
        <f>POWER(N2,2)</f>
        <v>1017.1847111111127</v>
      </c>
    </row>
    <row r="3" spans="2:15" x14ac:dyDescent="0.25">
      <c r="B3">
        <v>122</v>
      </c>
      <c r="C3">
        <f t="shared" ref="C3:C16" si="0">B3-B$19</f>
        <v>9.7999999999999972</v>
      </c>
      <c r="D3">
        <f t="shared" ref="D3:D16" si="1">POWER(C3,2)</f>
        <v>96.039999999999949</v>
      </c>
      <c r="I3">
        <v>139</v>
      </c>
      <c r="J3">
        <f t="shared" ref="J3:J16" si="2">I3-I$19</f>
        <v>22.466666666666669</v>
      </c>
      <c r="K3">
        <f t="shared" ref="K3:K16" si="3">POWER(J3,2)</f>
        <v>504.75111111111119</v>
      </c>
      <c r="N3">
        <f t="shared" ref="N3:N16" si="4">C3*J3</f>
        <v>220.17333333333329</v>
      </c>
      <c r="O3">
        <f t="shared" ref="O3:O16" si="5">POWER(N3,2)</f>
        <v>48476.296711111092</v>
      </c>
    </row>
    <row r="4" spans="2:15" x14ac:dyDescent="0.25">
      <c r="B4">
        <v>116</v>
      </c>
      <c r="C4">
        <f t="shared" si="0"/>
        <v>3.7999999999999972</v>
      </c>
      <c r="D4">
        <f t="shared" si="1"/>
        <v>14.439999999999978</v>
      </c>
      <c r="I4">
        <v>124</v>
      </c>
      <c r="J4">
        <f t="shared" si="2"/>
        <v>7.4666666666666686</v>
      </c>
      <c r="K4">
        <f t="shared" si="3"/>
        <v>55.751111111111136</v>
      </c>
      <c r="N4">
        <f t="shared" si="4"/>
        <v>28.373333333333321</v>
      </c>
      <c r="O4">
        <f t="shared" si="5"/>
        <v>805.04604444444374</v>
      </c>
    </row>
    <row r="5" spans="2:15" x14ac:dyDescent="0.25">
      <c r="B5">
        <v>112</v>
      </c>
      <c r="C5">
        <f t="shared" si="0"/>
        <v>-0.20000000000000284</v>
      </c>
      <c r="D5">
        <f t="shared" si="1"/>
        <v>4.0000000000001139E-2</v>
      </c>
      <c r="I5">
        <v>96</v>
      </c>
      <c r="J5">
        <f t="shared" si="2"/>
        <v>-20.533333333333331</v>
      </c>
      <c r="K5">
        <f t="shared" si="3"/>
        <v>421.61777777777769</v>
      </c>
      <c r="N5">
        <f t="shared" si="4"/>
        <v>4.1066666666667251</v>
      </c>
      <c r="O5">
        <f t="shared" si="5"/>
        <v>16.864711111111593</v>
      </c>
    </row>
    <row r="6" spans="2:15" x14ac:dyDescent="0.25">
      <c r="B6">
        <v>106</v>
      </c>
      <c r="C6">
        <f t="shared" si="0"/>
        <v>-6.2000000000000028</v>
      </c>
      <c r="D6">
        <f t="shared" si="1"/>
        <v>38.440000000000033</v>
      </c>
      <c r="I6">
        <v>107</v>
      </c>
      <c r="J6">
        <f t="shared" si="2"/>
        <v>-9.5333333333333314</v>
      </c>
      <c r="K6">
        <f t="shared" si="3"/>
        <v>90.884444444444412</v>
      </c>
      <c r="N6">
        <f t="shared" si="4"/>
        <v>59.106666666666683</v>
      </c>
      <c r="O6">
        <f t="shared" si="5"/>
        <v>3493.5980444444463</v>
      </c>
    </row>
    <row r="7" spans="2:15" x14ac:dyDescent="0.25">
      <c r="B7">
        <v>112</v>
      </c>
      <c r="C7">
        <f t="shared" si="0"/>
        <v>-0.20000000000000284</v>
      </c>
      <c r="D7">
        <f t="shared" si="1"/>
        <v>4.0000000000001139E-2</v>
      </c>
      <c r="I7">
        <v>90</v>
      </c>
      <c r="J7">
        <f t="shared" si="2"/>
        <v>-26.533333333333331</v>
      </c>
      <c r="K7">
        <f t="shared" si="3"/>
        <v>704.01777777777772</v>
      </c>
      <c r="N7">
        <f t="shared" si="4"/>
        <v>5.3066666666667421</v>
      </c>
      <c r="O7">
        <f t="shared" si="5"/>
        <v>28.160711111111912</v>
      </c>
    </row>
    <row r="8" spans="2:15" x14ac:dyDescent="0.25">
      <c r="B8">
        <v>84</v>
      </c>
      <c r="C8">
        <f t="shared" si="0"/>
        <v>-28.200000000000003</v>
      </c>
      <c r="D8">
        <f t="shared" si="1"/>
        <v>795.24000000000012</v>
      </c>
      <c r="I8">
        <v>138</v>
      </c>
      <c r="J8">
        <f t="shared" si="2"/>
        <v>21.466666666666669</v>
      </c>
      <c r="K8">
        <f t="shared" si="3"/>
        <v>460.81777777777785</v>
      </c>
      <c r="N8">
        <f t="shared" si="4"/>
        <v>-605.36000000000013</v>
      </c>
      <c r="O8">
        <f t="shared" si="5"/>
        <v>366460.72960000014</v>
      </c>
    </row>
    <row r="9" spans="2:15" x14ac:dyDescent="0.25">
      <c r="B9">
        <v>130</v>
      </c>
      <c r="C9">
        <f t="shared" si="0"/>
        <v>17.799999999999997</v>
      </c>
      <c r="D9">
        <f t="shared" si="1"/>
        <v>316.83999999999992</v>
      </c>
      <c r="I9">
        <v>117</v>
      </c>
      <c r="J9">
        <f t="shared" si="2"/>
        <v>0.46666666666666856</v>
      </c>
      <c r="K9">
        <f t="shared" si="3"/>
        <v>0.21777777777777954</v>
      </c>
      <c r="N9">
        <f t="shared" si="4"/>
        <v>8.3066666666666986</v>
      </c>
      <c r="O9">
        <f t="shared" si="5"/>
        <v>69.000711111111642</v>
      </c>
    </row>
    <row r="10" spans="2:15" x14ac:dyDescent="0.25">
      <c r="B10">
        <v>105</v>
      </c>
      <c r="C10">
        <f t="shared" si="0"/>
        <v>-7.2000000000000028</v>
      </c>
      <c r="D10">
        <f t="shared" si="1"/>
        <v>51.840000000000039</v>
      </c>
      <c r="I10">
        <v>131</v>
      </c>
      <c r="J10">
        <f t="shared" si="2"/>
        <v>14.466666666666669</v>
      </c>
      <c r="K10">
        <f t="shared" si="3"/>
        <v>209.28444444444449</v>
      </c>
      <c r="N10">
        <f t="shared" si="4"/>
        <v>-104.16000000000005</v>
      </c>
      <c r="O10">
        <f t="shared" si="5"/>
        <v>10849.305600000011</v>
      </c>
    </row>
    <row r="11" spans="2:15" x14ac:dyDescent="0.25">
      <c r="B11">
        <v>99</v>
      </c>
      <c r="C11">
        <f t="shared" si="0"/>
        <v>-13.200000000000003</v>
      </c>
      <c r="D11">
        <f t="shared" si="1"/>
        <v>174.24000000000007</v>
      </c>
      <c r="I11">
        <v>98</v>
      </c>
      <c r="J11">
        <f t="shared" si="2"/>
        <v>-18.533333333333331</v>
      </c>
      <c r="K11">
        <f t="shared" si="3"/>
        <v>343.48444444444436</v>
      </c>
      <c r="N11">
        <f t="shared" si="4"/>
        <v>244.64000000000001</v>
      </c>
      <c r="O11">
        <f t="shared" si="5"/>
        <v>59848.729600000006</v>
      </c>
    </row>
    <row r="12" spans="2:15" x14ac:dyDescent="0.25">
      <c r="B12">
        <v>128</v>
      </c>
      <c r="C12">
        <f t="shared" si="0"/>
        <v>15.799999999999997</v>
      </c>
      <c r="D12">
        <f t="shared" si="1"/>
        <v>249.6399999999999</v>
      </c>
      <c r="I12">
        <v>115</v>
      </c>
      <c r="J12">
        <f t="shared" si="2"/>
        <v>-1.5333333333333314</v>
      </c>
      <c r="K12">
        <f t="shared" si="3"/>
        <v>2.3511111111111052</v>
      </c>
      <c r="N12">
        <f t="shared" si="4"/>
        <v>-24.226666666666631</v>
      </c>
      <c r="O12">
        <f t="shared" si="5"/>
        <v>586.93137777777611</v>
      </c>
    </row>
    <row r="13" spans="2:15" x14ac:dyDescent="0.25">
      <c r="B13">
        <v>114</v>
      </c>
      <c r="C13">
        <f t="shared" si="0"/>
        <v>1.7999999999999972</v>
      </c>
      <c r="D13">
        <f t="shared" si="1"/>
        <v>3.2399999999999896</v>
      </c>
      <c r="I13">
        <v>123</v>
      </c>
      <c r="J13">
        <f t="shared" si="2"/>
        <v>6.4666666666666686</v>
      </c>
      <c r="K13">
        <f t="shared" si="3"/>
        <v>41.817777777777799</v>
      </c>
      <c r="N13">
        <f t="shared" si="4"/>
        <v>11.639999999999985</v>
      </c>
      <c r="O13">
        <f t="shared" si="5"/>
        <v>135.48959999999965</v>
      </c>
    </row>
    <row r="14" spans="2:15" x14ac:dyDescent="0.25">
      <c r="B14">
        <v>131</v>
      </c>
      <c r="C14">
        <f t="shared" si="0"/>
        <v>18.799999999999997</v>
      </c>
      <c r="D14">
        <f t="shared" si="1"/>
        <v>353.43999999999988</v>
      </c>
      <c r="I14">
        <v>102</v>
      </c>
      <c r="J14">
        <f t="shared" si="2"/>
        <v>-14.533333333333331</v>
      </c>
      <c r="K14">
        <f t="shared" si="3"/>
        <v>211.21777777777771</v>
      </c>
      <c r="N14">
        <f t="shared" si="4"/>
        <v>-273.22666666666657</v>
      </c>
      <c r="O14">
        <f t="shared" si="5"/>
        <v>74652.811377777733</v>
      </c>
    </row>
    <row r="15" spans="2:15" x14ac:dyDescent="0.25">
      <c r="B15">
        <v>128</v>
      </c>
      <c r="C15">
        <f t="shared" si="0"/>
        <v>15.799999999999997</v>
      </c>
      <c r="D15">
        <f t="shared" si="1"/>
        <v>249.6399999999999</v>
      </c>
      <c r="I15">
        <v>125</v>
      </c>
      <c r="J15">
        <f t="shared" si="2"/>
        <v>8.4666666666666686</v>
      </c>
      <c r="K15">
        <f t="shared" si="3"/>
        <v>71.68444444444448</v>
      </c>
      <c r="N15">
        <f t="shared" si="4"/>
        <v>133.77333333333334</v>
      </c>
      <c r="O15">
        <f t="shared" si="5"/>
        <v>17895.304711111112</v>
      </c>
    </row>
    <row r="16" spans="2:15" x14ac:dyDescent="0.25">
      <c r="B16">
        <v>93</v>
      </c>
      <c r="C16">
        <f t="shared" si="0"/>
        <v>-19.200000000000003</v>
      </c>
      <c r="D16">
        <f t="shared" si="1"/>
        <v>368.6400000000001</v>
      </c>
      <c r="I16">
        <v>123</v>
      </c>
      <c r="J16">
        <f t="shared" si="2"/>
        <v>6.4666666666666686</v>
      </c>
      <c r="K16">
        <f t="shared" si="3"/>
        <v>41.817777777777799</v>
      </c>
      <c r="N16">
        <f t="shared" si="4"/>
        <v>-124.16000000000005</v>
      </c>
      <c r="O16">
        <f t="shared" si="5"/>
        <v>15415.705600000014</v>
      </c>
    </row>
    <row r="19" spans="2:14" x14ac:dyDescent="0.25">
      <c r="B19">
        <f>AVERAGE(B2:B16)</f>
        <v>112.2</v>
      </c>
      <c r="D19">
        <f>SUM(D2:D16)</f>
        <v>2796.3999999999996</v>
      </c>
      <c r="I19">
        <f>AVERAGE(I2:I16)</f>
        <v>116.53333333333333</v>
      </c>
      <c r="K19">
        <f>SUM(K2:K16)</f>
        <v>3171.7333333333336</v>
      </c>
      <c r="N19">
        <f>SUM(N2:N16)</f>
        <v>-447.6</v>
      </c>
    </row>
    <row r="21" spans="2:14" x14ac:dyDescent="0.25">
      <c r="D21">
        <f>SQRT(D19*K19)</f>
        <v>2978.1596823094178</v>
      </c>
    </row>
    <row r="23" spans="2:14" x14ac:dyDescent="0.25">
      <c r="E23" t="s">
        <v>2</v>
      </c>
      <c r="F23" t="s">
        <v>3</v>
      </c>
    </row>
    <row r="24" spans="2:14" x14ac:dyDescent="0.25">
      <c r="D24" t="s">
        <v>6</v>
      </c>
      <c r="E24">
        <f>N19/D21</f>
        <v>-0.15029415738141616</v>
      </c>
      <c r="F24">
        <f>CORREL(B2:B16,I2:I16)</f>
        <v>-0.15029415738141616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G23" sqref="G23"/>
    </sheetView>
  </sheetViews>
  <sheetFormatPr defaultRowHeight="15" x14ac:dyDescent="0.25"/>
  <sheetData>
    <row r="2" spans="2:3" x14ac:dyDescent="0.25">
      <c r="B2">
        <v>120</v>
      </c>
      <c r="C2">
        <v>103</v>
      </c>
    </row>
    <row r="3" spans="2:3" x14ac:dyDescent="0.25">
      <c r="B3">
        <v>139</v>
      </c>
      <c r="C3">
        <v>122</v>
      </c>
    </row>
    <row r="4" spans="2:3" x14ac:dyDescent="0.25">
      <c r="B4">
        <v>124</v>
      </c>
      <c r="C4">
        <v>116</v>
      </c>
    </row>
    <row r="5" spans="2:3" x14ac:dyDescent="0.25">
      <c r="B5">
        <v>96</v>
      </c>
      <c r="C5">
        <v>106</v>
      </c>
    </row>
    <row r="6" spans="2:3" x14ac:dyDescent="0.25">
      <c r="B6">
        <v>107</v>
      </c>
      <c r="C6">
        <v>112</v>
      </c>
    </row>
    <row r="7" spans="2:3" x14ac:dyDescent="0.25">
      <c r="B7">
        <v>90</v>
      </c>
      <c r="C7">
        <v>145</v>
      </c>
    </row>
    <row r="8" spans="2:3" x14ac:dyDescent="0.25">
      <c r="B8">
        <v>138</v>
      </c>
      <c r="C8">
        <v>84</v>
      </c>
    </row>
    <row r="9" spans="2:3" x14ac:dyDescent="0.25">
      <c r="B9">
        <v>117</v>
      </c>
      <c r="C9">
        <v>105</v>
      </c>
    </row>
    <row r="10" spans="2:3" x14ac:dyDescent="0.25">
      <c r="B10">
        <v>131</v>
      </c>
      <c r="C10">
        <v>99</v>
      </c>
    </row>
    <row r="11" spans="2:3" x14ac:dyDescent="0.25">
      <c r="B11">
        <v>98</v>
      </c>
      <c r="C11">
        <v>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7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к</dc:creator>
  <cp:lastModifiedBy>о к</cp:lastModifiedBy>
  <dcterms:created xsi:type="dcterms:W3CDTF">2024-02-15T15:49:32Z</dcterms:created>
  <dcterms:modified xsi:type="dcterms:W3CDTF">2024-02-28T06:39:04Z</dcterms:modified>
</cp:coreProperties>
</file>